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899979-B04A-4093-AEC9-D385A838359C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Inventory" sheetId="1" r:id="rId1"/>
    <sheet name="Orders" sheetId="2" r:id="rId2"/>
    <sheet name="Receipts" sheetId="3" r:id="rId3"/>
    <sheet name="CycleCounts" sheetId="4" r:id="rId4"/>
    <sheet name="Dashboard" sheetId="5" r:id="rId5"/>
  </sheets>
  <calcPr calcId="181029"/>
</workbook>
</file>

<file path=xl/calcChain.xml><?xml version="1.0" encoding="utf-8"?>
<calcChain xmlns="http://schemas.openxmlformats.org/spreadsheetml/2006/main">
  <c r="E14" i="5" l="1"/>
  <c r="E13" i="5"/>
  <c r="E12" i="5"/>
  <c r="E11" i="5"/>
  <c r="E8" i="5"/>
  <c r="E7" i="5"/>
  <c r="B7" i="5"/>
  <c r="E6" i="5"/>
  <c r="B6" i="5"/>
  <c r="E5" i="5"/>
  <c r="B5" i="5"/>
  <c r="E4" i="5"/>
  <c r="B4" i="5"/>
  <c r="B3" i="5"/>
  <c r="F5" i="4"/>
  <c r="B8" i="5" s="1"/>
  <c r="F4" i="4"/>
  <c r="F3" i="4"/>
  <c r="F2" i="4"/>
</calcChain>
</file>

<file path=xl/sharedStrings.xml><?xml version="1.0" encoding="utf-8"?>
<sst xmlns="http://schemas.openxmlformats.org/spreadsheetml/2006/main" count="312" uniqueCount="151">
  <si>
    <t>SKU</t>
  </si>
  <si>
    <t>Product</t>
  </si>
  <si>
    <t>Category</t>
  </si>
  <si>
    <t>Zone</t>
  </si>
  <si>
    <t>Location</t>
  </si>
  <si>
    <t>On_Hand</t>
  </si>
  <si>
    <t>Reserved</t>
  </si>
  <si>
    <t>Available</t>
  </si>
  <si>
    <t>Damaged</t>
  </si>
  <si>
    <t>Unit</t>
  </si>
  <si>
    <t>SKU001</t>
  </si>
  <si>
    <t>Chicken Breast</t>
  </si>
  <si>
    <t>Protein</t>
  </si>
  <si>
    <t>A</t>
  </si>
  <si>
    <t>A01-01</t>
  </si>
  <si>
    <t>KG</t>
  </si>
  <si>
    <t>SKU002</t>
  </si>
  <si>
    <t>Ground Beef</t>
  </si>
  <si>
    <t>A01-02</t>
  </si>
  <si>
    <t>SKU003</t>
  </si>
  <si>
    <t>Salmon</t>
  </si>
  <si>
    <t>C</t>
  </si>
  <si>
    <t>C01-01</t>
  </si>
  <si>
    <t>SKU004</t>
  </si>
  <si>
    <t>Tofu</t>
  </si>
  <si>
    <t>A02-01</t>
  </si>
  <si>
    <t>EA</t>
  </si>
  <si>
    <t>SKU005</t>
  </si>
  <si>
    <t>Turkey</t>
  </si>
  <si>
    <t>A02-02</t>
  </si>
  <si>
    <t>SKU006</t>
  </si>
  <si>
    <t>Bell Peppers</t>
  </si>
  <si>
    <t>Vegetables</t>
  </si>
  <si>
    <t>A03-01</t>
  </si>
  <si>
    <t>SKU007</t>
  </si>
  <si>
    <t>Tomatoes</t>
  </si>
  <si>
    <t>A03-02</t>
  </si>
  <si>
    <t>SKU008</t>
  </si>
  <si>
    <t>Broccoli</t>
  </si>
  <si>
    <t>A04-01</t>
  </si>
  <si>
    <t>SKU009</t>
  </si>
  <si>
    <t>Spinach</t>
  </si>
  <si>
    <t>A04-02</t>
  </si>
  <si>
    <t>SKU010</t>
  </si>
  <si>
    <t>Onions</t>
  </si>
  <si>
    <t>B</t>
  </si>
  <si>
    <t>B01-01</t>
  </si>
  <si>
    <t>SKU011</t>
  </si>
  <si>
    <t>Potatoes</t>
  </si>
  <si>
    <t>B01-02</t>
  </si>
  <si>
    <t>SKU012</t>
  </si>
  <si>
    <t>Rice</t>
  </si>
  <si>
    <t>Pantry</t>
  </si>
  <si>
    <t>B02-01</t>
  </si>
  <si>
    <t>SKU013</t>
  </si>
  <si>
    <t>Pasta</t>
  </si>
  <si>
    <t>B02-02</t>
  </si>
  <si>
    <t>SKU014</t>
  </si>
  <si>
    <t>Olive Oil</t>
  </si>
  <si>
    <t>B03-01</t>
  </si>
  <si>
    <t>L</t>
  </si>
  <si>
    <t>SKU015</t>
  </si>
  <si>
    <t>Black Beans</t>
  </si>
  <si>
    <t>B03-02</t>
  </si>
  <si>
    <t>SKU016</t>
  </si>
  <si>
    <t>Chickpeas</t>
  </si>
  <si>
    <t>B04-01</t>
  </si>
  <si>
    <t>SKU017</t>
  </si>
  <si>
    <t>Milk</t>
  </si>
  <si>
    <t>Dairy</t>
  </si>
  <si>
    <t>A05-01</t>
  </si>
  <si>
    <t>SKU018</t>
  </si>
  <si>
    <t>Butter</t>
  </si>
  <si>
    <t>A05-02</t>
  </si>
  <si>
    <t>SKU019</t>
  </si>
  <si>
    <t>Mozzarella</t>
  </si>
  <si>
    <t>A06-01</t>
  </si>
  <si>
    <t>SKU020</t>
  </si>
  <si>
    <t>Yogurt</t>
  </si>
  <si>
    <t>A06-02</t>
  </si>
  <si>
    <t>SKU021</t>
  </si>
  <si>
    <t>Meal Kit Box</t>
  </si>
  <si>
    <t>Packaging</t>
  </si>
  <si>
    <t>D</t>
  </si>
  <si>
    <t>D01-01</t>
  </si>
  <si>
    <t>SKU022</t>
  </si>
  <si>
    <t>Ice Pack</t>
  </si>
  <si>
    <t>D01-02</t>
  </si>
  <si>
    <t>SKU023</t>
  </si>
  <si>
    <t>Insulated Liner</t>
  </si>
  <si>
    <t>D02-01</t>
  </si>
  <si>
    <t>SKU024</t>
  </si>
  <si>
    <t>Recipe Card</t>
  </si>
  <si>
    <t>D02-02</t>
  </si>
  <si>
    <t>Order_ID</t>
  </si>
  <si>
    <t>Order_Date</t>
  </si>
  <si>
    <t>Ship_Date</t>
  </si>
  <si>
    <t>Quantity</t>
  </si>
  <si>
    <t>Status</t>
  </si>
  <si>
    <t>ORD1001</t>
  </si>
  <si>
    <t>2026-07-01</t>
  </si>
  <si>
    <t>Shipped</t>
  </si>
  <si>
    <t>ORD1002</t>
  </si>
  <si>
    <t>2026-07-02</t>
  </si>
  <si>
    <t>ORD1003</t>
  </si>
  <si>
    <t>2026-07-03</t>
  </si>
  <si>
    <t>ORD1004</t>
  </si>
  <si>
    <t>2026-07-04</t>
  </si>
  <si>
    <t>ORD1005</t>
  </si>
  <si>
    <t>2026-07-05</t>
  </si>
  <si>
    <t>ORD1006</t>
  </si>
  <si>
    <t>2026-07-06</t>
  </si>
  <si>
    <t>ORD1007</t>
  </si>
  <si>
    <t>2026-07-07</t>
  </si>
  <si>
    <t>Receipt_ID</t>
  </si>
  <si>
    <t>Receipt_Date</t>
  </si>
  <si>
    <t>Supplier</t>
  </si>
  <si>
    <t>REC1</t>
  </si>
  <si>
    <t>Prairie Meats</t>
  </si>
  <si>
    <t>REC2</t>
  </si>
  <si>
    <t>Fresh Farms</t>
  </si>
  <si>
    <t>REC3</t>
  </si>
  <si>
    <t>Grain Co.</t>
  </si>
  <si>
    <t>REC4</t>
  </si>
  <si>
    <t>PackRight</t>
  </si>
  <si>
    <t>Date</t>
  </si>
  <si>
    <t>System_Qty</t>
  </si>
  <si>
    <t>Physical_Qty</t>
  </si>
  <si>
    <t>Variance</t>
  </si>
  <si>
    <t>FreshBox Foods | Warehouse Operations Executive Dashboard</t>
  </si>
  <si>
    <t>Operational Highlights</t>
  </si>
  <si>
    <t>Total On Hand</t>
  </si>
  <si>
    <t>On Hand</t>
  </si>
  <si>
    <t>Inventory Accuracy &gt;99%</t>
  </si>
  <si>
    <t>No stockouts recorded</t>
  </si>
  <si>
    <t>Packaging inventory healthy</t>
  </si>
  <si>
    <t>Monitor Tofu &amp; Spinach</t>
  </si>
  <si>
    <t>Orders Shipped</t>
  </si>
  <si>
    <t>Damaged inventory within target</t>
  </si>
  <si>
    <t>Inventory Accuracy</t>
  </si>
  <si>
    <t>Order Date</t>
  </si>
  <si>
    <t>Orders</t>
  </si>
  <si>
    <t>Qty</t>
  </si>
  <si>
    <t>Low Stock Alert</t>
  </si>
  <si>
    <t>Executive Summary</t>
  </si>
  <si>
    <t>Top Inventory SKUs</t>
  </si>
  <si>
    <t>• Inventory accuracy exceeds 99%.</t>
  </si>
  <si>
    <t>• No stockouts identified during reporting period.</t>
  </si>
  <si>
    <t>• Packaging inventory is sufficient for current demand.</t>
  </si>
  <si>
    <t>• Tofu and Spinach should be monitored for replenishment.</t>
  </si>
  <si>
    <t>• Damaged inventory remains within acceptable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</si>
</sst>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20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75E"/>
      </patternFill>
    </fill>
    <fill>
      <patternFill patternType="solid">
        <fgColor rgb="FF70AD47"/>
      </patternFill>
    </fill>
    <fill>
      <patternFill patternType="solid">
        <fgColor rgb="FFEAF2F8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Inventory by Category</a:t>
            </a:r>
          </a:p>
        </c:rich>
      </c:tx>
      <c:layout>
        <c:manualLayout>
          <c:xMode val="edge"/>
          <c:yMode val="edge"/>
          <c:x val="0.1824337962962963"/>
          <c:y val="7.055555555555555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On Hand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Dashboard!$D$4:$D$8</c:f>
              <c:strCache>
                <c:ptCount val="5"/>
                <c:pt idx="0">
                  <c:v>Protein</c:v>
                </c:pt>
                <c:pt idx="1">
                  <c:v>Vegetables</c:v>
                </c:pt>
                <c:pt idx="2">
                  <c:v>Pantry</c:v>
                </c:pt>
                <c:pt idx="3">
                  <c:v>Dairy</c:v>
                </c:pt>
                <c:pt idx="4">
                  <c:v>Packaging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800</c:v>
                </c:pt>
                <c:pt idx="1">
                  <c:v>1730</c:v>
                </c:pt>
                <c:pt idx="2">
                  <c:v>1280</c:v>
                </c:pt>
                <c:pt idx="3">
                  <c:v>700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D-4514-8840-A30226AE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by Zone</a:t>
            </a:r>
          </a:p>
        </c:rich>
      </c:tx>
      <c:layout>
        <c:manualLayout>
          <c:xMode val="edge"/>
          <c:yMode val="edge"/>
          <c:x val="0.31317715450857903"/>
          <c:y val="0.87410288502669564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Dashboard!$E$10</c:f>
              <c:strCache>
                <c:ptCount val="1"/>
                <c:pt idx="0">
                  <c:v>On Hand</c:v>
                </c:pt>
              </c:strCache>
            </c:strRef>
          </c:tx>
          <c:spPr>
            <a:ln>
              <a:prstDash val="solid"/>
            </a:ln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EF-4BCF-9ED8-E00D49EDA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EF-4BCF-9ED8-E00D49EDA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EF-4BCF-9ED8-E00D49EDA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EF-4BCF-9ED8-E00D49EDA588}"/>
              </c:ext>
            </c:extLst>
          </c:dPt>
          <c:dLbls>
            <c:dLbl>
              <c:idx val="0"/>
              <c:layout>
                <c:manualLayout>
                  <c:x val="-8.3545367779440799E-2"/>
                  <c:y val="0.131918756634293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EF-4BCF-9ED8-E00D49EDA588}"/>
                </c:ext>
              </c:extLst>
            </c:dLbl>
            <c:dLbl>
              <c:idx val="1"/>
              <c:layout>
                <c:manualLayout>
                  <c:x val="-0.12778562287152123"/>
                  <c:y val="-5.925759280089988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EF-4BCF-9ED8-E00D49EDA588}"/>
                </c:ext>
              </c:extLst>
            </c:dLbl>
            <c:dLbl>
              <c:idx val="2"/>
              <c:layout>
                <c:manualLayout>
                  <c:x val="-0.10331554630051419"/>
                  <c:y val="-0.1988751406074240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EF-4BCF-9ED8-E00D49EDA588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EF-4BCF-9ED8-E00D49EDA58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Dashboard!$D$11:$D$14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Dashboard!$E$11:$E$14</c:f>
              <c:numCache>
                <c:formatCode>General</c:formatCode>
                <c:ptCount val="4"/>
                <c:pt idx="0">
                  <c:v>2210</c:v>
                </c:pt>
                <c:pt idx="1">
                  <c:v>2180</c:v>
                </c:pt>
                <c:pt idx="2">
                  <c:v>120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EF-4BCF-9ED8-E00D49EDA58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75071148131276977"/>
          <c:y val="5.8852643419572553E-2"/>
          <c:w val="0.19830155528079649"/>
          <c:h val="6.7907919960709148E-2"/>
        </c:manualLayout>
      </c:layout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Orders Trend</a:t>
            </a:r>
          </a:p>
        </c:rich>
      </c:tx>
      <c:layout>
        <c:manualLayout>
          <c:xMode val="edge"/>
          <c:yMode val="edge"/>
          <c:x val="0.36500944444444439"/>
          <c:y val="7.525925925925926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Dashboard!$A$13:$A$19</c:f>
              <c:strCache>
                <c:ptCount val="7"/>
                <c:pt idx="0">
                  <c:v>2026-07-01</c:v>
                </c:pt>
                <c:pt idx="1">
                  <c:v>2026-07-02</c:v>
                </c:pt>
                <c:pt idx="2">
                  <c:v>2026-07-03</c:v>
                </c:pt>
                <c:pt idx="3">
                  <c:v>2026-07-04</c:v>
                </c:pt>
                <c:pt idx="4">
                  <c:v>2026-07-05</c:v>
                </c:pt>
                <c:pt idx="5">
                  <c:v>2026-07-06</c:v>
                </c:pt>
                <c:pt idx="6">
                  <c:v>2026-07-07</c:v>
                </c:pt>
              </c:strCache>
            </c:strRef>
          </c:cat>
          <c:val>
            <c:numRef>
              <c:f>Dashboard!$B$13:$B$19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91-47B2-8C89-85674E28C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Supplier Receipts</a:t>
            </a:r>
          </a:p>
        </c:rich>
      </c:tx>
      <c:layout>
        <c:manualLayout>
          <c:xMode val="edge"/>
          <c:yMode val="edge"/>
          <c:x val="0.31921314814814822"/>
          <c:y val="9.877777777777778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Dashboard!$E$18</c:f>
              <c:strCache>
                <c:ptCount val="1"/>
                <c:pt idx="0">
                  <c:v>Qty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Dashboard!$D$19:$D$22</c:f>
              <c:strCache>
                <c:ptCount val="4"/>
                <c:pt idx="0">
                  <c:v>Prairie Meats</c:v>
                </c:pt>
                <c:pt idx="1">
                  <c:v>Fresh Farms</c:v>
                </c:pt>
                <c:pt idx="2">
                  <c:v>Grain Co.</c:v>
                </c:pt>
                <c:pt idx="3">
                  <c:v>PackRight</c:v>
                </c:pt>
              </c:strCache>
            </c:strRef>
          </c:cat>
          <c:val>
            <c:numRef>
              <c:f>Dashboard!$E$19:$E$22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200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1-4FE1-A01F-3AC93325B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Inventory</a:t>
            </a:r>
          </a:p>
        </c:rich>
      </c:tx>
      <c:layout>
        <c:manualLayout>
          <c:xMode val="edge"/>
          <c:yMode val="edge"/>
          <c:x val="0.27269351851851847"/>
          <c:y val="8.417719840980794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9976851851851849E-2"/>
          <c:y val="6.0476190476190475E-2"/>
          <c:w val="0.69112870370370372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On Hand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Dashboard!$A$41:$A$50</c:f>
              <c:strCache>
                <c:ptCount val="10"/>
                <c:pt idx="0">
                  <c:v>Recipe Card</c:v>
                </c:pt>
                <c:pt idx="1">
                  <c:v>Ice Pack</c:v>
                </c:pt>
                <c:pt idx="2">
                  <c:v>Meal Kit Box</c:v>
                </c:pt>
                <c:pt idx="3">
                  <c:v>Insulated Liner</c:v>
                </c:pt>
                <c:pt idx="4">
                  <c:v>Potatoes</c:v>
                </c:pt>
                <c:pt idx="5">
                  <c:v>Onions</c:v>
                </c:pt>
                <c:pt idx="6">
                  <c:v>Rice</c:v>
                </c:pt>
                <c:pt idx="7">
                  <c:v>Pasta</c:v>
                </c:pt>
                <c:pt idx="8">
                  <c:v>Bell Peppers</c:v>
                </c:pt>
                <c:pt idx="9">
                  <c:v>Tomatoes</c:v>
                </c:pt>
              </c:strCache>
            </c:strRef>
          </c:cat>
          <c:val>
            <c:numRef>
              <c:f>Dashboard!$B$41:$B$50</c:f>
              <c:numCache>
                <c:formatCode>General</c:formatCode>
                <c:ptCount val="10"/>
                <c:pt idx="0">
                  <c:v>2500</c:v>
                </c:pt>
                <c:pt idx="1">
                  <c:v>1500</c:v>
                </c:pt>
                <c:pt idx="2">
                  <c:v>1200</c:v>
                </c:pt>
                <c:pt idx="3">
                  <c:v>800</c:v>
                </c:pt>
                <c:pt idx="4">
                  <c:v>500</c:v>
                </c:pt>
                <c:pt idx="5">
                  <c:v>400</c:v>
                </c:pt>
                <c:pt idx="6">
                  <c:v>350</c:v>
                </c:pt>
                <c:pt idx="7">
                  <c:v>320</c:v>
                </c:pt>
                <c:pt idx="8">
                  <c:v>300</c:v>
                </c:pt>
                <c:pt idx="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6-467C-A1B9-5D4AD57D0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411843</xdr:colOff>
      <xdr:row>15</xdr:row>
      <xdr:rowOff>87993</xdr:rowOff>
    </xdr:from>
    <xdr:ext cx="4610100" cy="31559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453572</xdr:colOff>
      <xdr:row>0</xdr:row>
      <xdr:rowOff>299357</xdr:rowOff>
    </xdr:from>
    <xdr:ext cx="5225142" cy="25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571500</xdr:colOff>
      <xdr:row>15</xdr:row>
      <xdr:rowOff>154215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480786</xdr:colOff>
      <xdr:row>33</xdr:row>
      <xdr:rowOff>99785</xdr:rowOff>
    </xdr:from>
    <xdr:ext cx="4320000" cy="2866572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1:J25" headerRowDxfId="12" dataDxfId="11">
  <autoFilter ref="A1:J25" xr:uid="{00000000-0009-0000-0100-000001000000}"/>
  <tableColumns count="10">
    <tableColumn id="1" xr3:uid="{00000000-0010-0000-0000-000001000000}" name="SKU" dataDxfId="10"/>
    <tableColumn id="2" xr3:uid="{00000000-0010-0000-0000-000002000000}" name="Product" dataDxfId="9"/>
    <tableColumn id="3" xr3:uid="{00000000-0010-0000-0000-000003000000}" name="Category" dataDxfId="8"/>
    <tableColumn id="4" xr3:uid="{00000000-0010-0000-0000-000004000000}" name="Zone" dataDxfId="7"/>
    <tableColumn id="5" xr3:uid="{00000000-0010-0000-0000-000005000000}" name="Location" dataDxfId="6"/>
    <tableColumn id="6" xr3:uid="{00000000-0010-0000-0000-000006000000}" name="On_Hand" dataDxfId="5"/>
    <tableColumn id="7" xr3:uid="{00000000-0010-0000-0000-000007000000}" name="Reserved" dataDxfId="4"/>
    <tableColumn id="8" xr3:uid="{00000000-0010-0000-0000-000008000000}" name="Available" dataDxfId="3"/>
    <tableColumn id="9" xr3:uid="{00000000-0010-0000-0000-000009000000}" name="Damaged" dataDxfId="2"/>
    <tableColumn id="10" xr3:uid="{00000000-0010-0000-0000-00000A000000}" name="Un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workbookViewId="0">
      <selection activeCell="D20" sqref="D20"/>
    </sheetView>
  </sheetViews>
  <sheetFormatPr defaultRowHeight="14.5" x14ac:dyDescent="0.35"/>
  <cols>
    <col min="1" max="10" width="16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250</v>
      </c>
      <c r="G2" s="1">
        <v>35</v>
      </c>
      <c r="H2" s="1">
        <v>215</v>
      </c>
      <c r="I2" s="1">
        <v>2</v>
      </c>
      <c r="J2" s="1" t="s">
        <v>15</v>
      </c>
    </row>
    <row r="3" spans="1:10" x14ac:dyDescent="0.35">
      <c r="A3" s="1" t="s">
        <v>16</v>
      </c>
      <c r="B3" s="1" t="s">
        <v>17</v>
      </c>
      <c r="C3" s="1" t="s">
        <v>12</v>
      </c>
      <c r="D3" s="1" t="s">
        <v>13</v>
      </c>
      <c r="E3" s="1" t="s">
        <v>18</v>
      </c>
      <c r="F3" s="1">
        <v>180</v>
      </c>
      <c r="G3" s="1">
        <v>22</v>
      </c>
      <c r="H3" s="1">
        <v>158</v>
      </c>
      <c r="I3" s="1">
        <v>1</v>
      </c>
      <c r="J3" s="1" t="s">
        <v>15</v>
      </c>
    </row>
    <row r="4" spans="1:10" x14ac:dyDescent="0.35">
      <c r="A4" s="1" t="s">
        <v>19</v>
      </c>
      <c r="B4" s="1" t="s">
        <v>20</v>
      </c>
      <c r="C4" s="1" t="s">
        <v>12</v>
      </c>
      <c r="D4" s="1" t="s">
        <v>21</v>
      </c>
      <c r="E4" s="1" t="s">
        <v>22</v>
      </c>
      <c r="F4" s="1">
        <v>120</v>
      </c>
      <c r="G4" s="1">
        <v>18</v>
      </c>
      <c r="H4" s="1">
        <v>102</v>
      </c>
      <c r="I4" s="1">
        <v>0</v>
      </c>
      <c r="J4" s="1" t="s">
        <v>15</v>
      </c>
    </row>
    <row r="5" spans="1:10" x14ac:dyDescent="0.35">
      <c r="A5" s="1" t="s">
        <v>23</v>
      </c>
      <c r="B5" s="1" t="s">
        <v>24</v>
      </c>
      <c r="C5" s="1" t="s">
        <v>12</v>
      </c>
      <c r="D5" s="1" t="s">
        <v>13</v>
      </c>
      <c r="E5" s="1" t="s">
        <v>25</v>
      </c>
      <c r="F5" s="1">
        <v>90</v>
      </c>
      <c r="G5" s="1">
        <v>12</v>
      </c>
      <c r="H5" s="1">
        <v>78</v>
      </c>
      <c r="I5" s="1">
        <v>0</v>
      </c>
      <c r="J5" s="1" t="s">
        <v>26</v>
      </c>
    </row>
    <row r="6" spans="1:10" x14ac:dyDescent="0.35">
      <c r="A6" s="1" t="s">
        <v>27</v>
      </c>
      <c r="B6" s="1" t="s">
        <v>28</v>
      </c>
      <c r="C6" s="1" t="s">
        <v>12</v>
      </c>
      <c r="D6" s="1" t="s">
        <v>13</v>
      </c>
      <c r="E6" s="1" t="s">
        <v>29</v>
      </c>
      <c r="F6" s="1">
        <v>160</v>
      </c>
      <c r="G6" s="1">
        <v>20</v>
      </c>
      <c r="H6" s="1">
        <v>140</v>
      </c>
      <c r="I6" s="1">
        <v>1</v>
      </c>
      <c r="J6" s="1" t="s">
        <v>15</v>
      </c>
    </row>
    <row r="7" spans="1:10" x14ac:dyDescent="0.35">
      <c r="A7" s="1" t="s">
        <v>30</v>
      </c>
      <c r="B7" s="1" t="s">
        <v>31</v>
      </c>
      <c r="C7" s="1" t="s">
        <v>32</v>
      </c>
      <c r="D7" s="1" t="s">
        <v>13</v>
      </c>
      <c r="E7" s="1" t="s">
        <v>33</v>
      </c>
      <c r="F7" s="1">
        <v>300</v>
      </c>
      <c r="G7" s="1">
        <v>45</v>
      </c>
      <c r="H7" s="1">
        <v>255</v>
      </c>
      <c r="I7" s="1">
        <v>3</v>
      </c>
      <c r="J7" s="1" t="s">
        <v>15</v>
      </c>
    </row>
    <row r="8" spans="1:10" x14ac:dyDescent="0.35">
      <c r="A8" s="1" t="s">
        <v>34</v>
      </c>
      <c r="B8" s="1" t="s">
        <v>35</v>
      </c>
      <c r="C8" s="1" t="s">
        <v>32</v>
      </c>
      <c r="D8" s="1" t="s">
        <v>13</v>
      </c>
      <c r="E8" s="1" t="s">
        <v>36</v>
      </c>
      <c r="F8" s="1">
        <v>280</v>
      </c>
      <c r="G8" s="1">
        <v>40</v>
      </c>
      <c r="H8" s="1">
        <v>240</v>
      </c>
      <c r="I8" s="1">
        <v>5</v>
      </c>
      <c r="J8" s="1" t="s">
        <v>15</v>
      </c>
    </row>
    <row r="9" spans="1:10" x14ac:dyDescent="0.35">
      <c r="A9" s="1" t="s">
        <v>37</v>
      </c>
      <c r="B9" s="1" t="s">
        <v>38</v>
      </c>
      <c r="C9" s="1" t="s">
        <v>32</v>
      </c>
      <c r="D9" s="1" t="s">
        <v>13</v>
      </c>
      <c r="E9" s="1" t="s">
        <v>39</v>
      </c>
      <c r="F9" s="1">
        <v>150</v>
      </c>
      <c r="G9" s="1">
        <v>20</v>
      </c>
      <c r="H9" s="1">
        <v>130</v>
      </c>
      <c r="I9" s="1">
        <v>2</v>
      </c>
      <c r="J9" s="1" t="s">
        <v>15</v>
      </c>
    </row>
    <row r="10" spans="1:10" x14ac:dyDescent="0.35">
      <c r="A10" s="1" t="s">
        <v>40</v>
      </c>
      <c r="B10" s="1" t="s">
        <v>41</v>
      </c>
      <c r="C10" s="1" t="s">
        <v>32</v>
      </c>
      <c r="D10" s="1" t="s">
        <v>13</v>
      </c>
      <c r="E10" s="1" t="s">
        <v>42</v>
      </c>
      <c r="F10" s="1">
        <v>100</v>
      </c>
      <c r="G10" s="1">
        <v>15</v>
      </c>
      <c r="H10" s="1">
        <v>85</v>
      </c>
      <c r="I10" s="1">
        <v>1</v>
      </c>
      <c r="J10" s="1" t="s">
        <v>15</v>
      </c>
    </row>
    <row r="11" spans="1:10" x14ac:dyDescent="0.35">
      <c r="A11" s="1" t="s">
        <v>43</v>
      </c>
      <c r="B11" s="1" t="s">
        <v>44</v>
      </c>
      <c r="C11" s="1" t="s">
        <v>32</v>
      </c>
      <c r="D11" s="1" t="s">
        <v>45</v>
      </c>
      <c r="E11" s="1" t="s">
        <v>46</v>
      </c>
      <c r="F11" s="1">
        <v>400</v>
      </c>
      <c r="G11" s="1">
        <v>60</v>
      </c>
      <c r="H11" s="1">
        <v>340</v>
      </c>
      <c r="I11" s="1">
        <v>4</v>
      </c>
      <c r="J11" s="1" t="s">
        <v>15</v>
      </c>
    </row>
    <row r="12" spans="1:10" x14ac:dyDescent="0.35">
      <c r="A12" s="1" t="s">
        <v>47</v>
      </c>
      <c r="B12" s="1" t="s">
        <v>48</v>
      </c>
      <c r="C12" s="1" t="s">
        <v>32</v>
      </c>
      <c r="D12" s="1" t="s">
        <v>45</v>
      </c>
      <c r="E12" s="1" t="s">
        <v>49</v>
      </c>
      <c r="F12" s="1">
        <v>500</v>
      </c>
      <c r="G12" s="1">
        <v>70</v>
      </c>
      <c r="H12" s="1">
        <v>430</v>
      </c>
      <c r="I12" s="1">
        <v>6</v>
      </c>
      <c r="J12" s="1" t="s">
        <v>15</v>
      </c>
    </row>
    <row r="13" spans="1:10" x14ac:dyDescent="0.35">
      <c r="A13" s="1" t="s">
        <v>50</v>
      </c>
      <c r="B13" s="1" t="s">
        <v>51</v>
      </c>
      <c r="C13" s="1" t="s">
        <v>52</v>
      </c>
      <c r="D13" s="1" t="s">
        <v>45</v>
      </c>
      <c r="E13" s="1" t="s">
        <v>53</v>
      </c>
      <c r="F13" s="1">
        <v>350</v>
      </c>
      <c r="G13" s="1">
        <v>50</v>
      </c>
      <c r="H13" s="1">
        <v>300</v>
      </c>
      <c r="I13" s="1">
        <v>0</v>
      </c>
      <c r="J13" s="1" t="s">
        <v>15</v>
      </c>
    </row>
    <row r="14" spans="1:10" x14ac:dyDescent="0.35">
      <c r="A14" s="1" t="s">
        <v>54</v>
      </c>
      <c r="B14" s="1" t="s">
        <v>55</v>
      </c>
      <c r="C14" s="1" t="s">
        <v>52</v>
      </c>
      <c r="D14" s="1" t="s">
        <v>45</v>
      </c>
      <c r="E14" s="1" t="s">
        <v>56</v>
      </c>
      <c r="F14" s="1">
        <v>320</v>
      </c>
      <c r="G14" s="1">
        <v>45</v>
      </c>
      <c r="H14" s="1">
        <v>275</v>
      </c>
      <c r="I14" s="1">
        <v>0</v>
      </c>
      <c r="J14" s="1" t="s">
        <v>26</v>
      </c>
    </row>
    <row r="15" spans="1:10" x14ac:dyDescent="0.35">
      <c r="A15" s="1" t="s">
        <v>57</v>
      </c>
      <c r="B15" s="1" t="s">
        <v>58</v>
      </c>
      <c r="C15" s="1" t="s">
        <v>52</v>
      </c>
      <c r="D15" s="1" t="s">
        <v>45</v>
      </c>
      <c r="E15" s="1" t="s">
        <v>59</v>
      </c>
      <c r="F15" s="1">
        <v>180</v>
      </c>
      <c r="G15" s="1">
        <v>20</v>
      </c>
      <c r="H15" s="1">
        <v>160</v>
      </c>
      <c r="I15" s="1">
        <v>0</v>
      </c>
      <c r="J15" s="1" t="s">
        <v>60</v>
      </c>
    </row>
    <row r="16" spans="1:10" x14ac:dyDescent="0.35">
      <c r="A16" s="1" t="s">
        <v>61</v>
      </c>
      <c r="B16" s="1" t="s">
        <v>62</v>
      </c>
      <c r="C16" s="1" t="s">
        <v>52</v>
      </c>
      <c r="D16" s="1" t="s">
        <v>45</v>
      </c>
      <c r="E16" s="1" t="s">
        <v>63</v>
      </c>
      <c r="F16" s="1">
        <v>220</v>
      </c>
      <c r="G16" s="1">
        <v>30</v>
      </c>
      <c r="H16" s="1">
        <v>190</v>
      </c>
      <c r="I16" s="1">
        <v>0</v>
      </c>
      <c r="J16" s="1" t="s">
        <v>26</v>
      </c>
    </row>
    <row r="17" spans="1:10" x14ac:dyDescent="0.35">
      <c r="A17" s="1" t="s">
        <v>64</v>
      </c>
      <c r="B17" s="1" t="s">
        <v>65</v>
      </c>
      <c r="C17" s="1" t="s">
        <v>52</v>
      </c>
      <c r="D17" s="1" t="s">
        <v>45</v>
      </c>
      <c r="E17" s="1" t="s">
        <v>66</v>
      </c>
      <c r="F17" s="1">
        <v>210</v>
      </c>
      <c r="G17" s="1">
        <v>25</v>
      </c>
      <c r="H17" s="1">
        <v>185</v>
      </c>
      <c r="I17" s="1">
        <v>0</v>
      </c>
      <c r="J17" s="1" t="s">
        <v>26</v>
      </c>
    </row>
    <row r="18" spans="1:10" x14ac:dyDescent="0.35">
      <c r="A18" s="1" t="s">
        <v>67</v>
      </c>
      <c r="B18" s="1" t="s">
        <v>68</v>
      </c>
      <c r="C18" s="1" t="s">
        <v>69</v>
      </c>
      <c r="D18" s="1" t="s">
        <v>13</v>
      </c>
      <c r="E18" s="1" t="s">
        <v>70</v>
      </c>
      <c r="F18" s="1">
        <v>200</v>
      </c>
      <c r="G18" s="1">
        <v>28</v>
      </c>
      <c r="H18" s="1">
        <v>172</v>
      </c>
      <c r="I18" s="1">
        <v>2</v>
      </c>
      <c r="J18" s="1" t="s">
        <v>60</v>
      </c>
    </row>
    <row r="19" spans="1:10" x14ac:dyDescent="0.35">
      <c r="A19" s="1" t="s">
        <v>71</v>
      </c>
      <c r="B19" s="1" t="s">
        <v>72</v>
      </c>
      <c r="C19" s="1" t="s">
        <v>69</v>
      </c>
      <c r="D19" s="1" t="s">
        <v>13</v>
      </c>
      <c r="E19" s="1" t="s">
        <v>73</v>
      </c>
      <c r="F19" s="1">
        <v>140</v>
      </c>
      <c r="G19" s="1">
        <v>18</v>
      </c>
      <c r="H19" s="1">
        <v>122</v>
      </c>
      <c r="I19" s="1">
        <v>1</v>
      </c>
      <c r="J19" s="1" t="s">
        <v>26</v>
      </c>
    </row>
    <row r="20" spans="1:10" x14ac:dyDescent="0.35">
      <c r="A20" s="1" t="s">
        <v>74</v>
      </c>
      <c r="B20" s="1" t="s">
        <v>75</v>
      </c>
      <c r="C20" s="1" t="s">
        <v>69</v>
      </c>
      <c r="D20" s="1" t="s">
        <v>13</v>
      </c>
      <c r="E20" s="1" t="s">
        <v>76</v>
      </c>
      <c r="F20" s="1">
        <v>170</v>
      </c>
      <c r="G20" s="1">
        <v>22</v>
      </c>
      <c r="H20" s="1">
        <v>148</v>
      </c>
      <c r="I20" s="1">
        <v>1</v>
      </c>
      <c r="J20" s="1" t="s">
        <v>15</v>
      </c>
    </row>
    <row r="21" spans="1:10" x14ac:dyDescent="0.35">
      <c r="A21" s="1" t="s">
        <v>77</v>
      </c>
      <c r="B21" s="1" t="s">
        <v>78</v>
      </c>
      <c r="C21" s="1" t="s">
        <v>69</v>
      </c>
      <c r="D21" s="1" t="s">
        <v>13</v>
      </c>
      <c r="E21" s="1" t="s">
        <v>79</v>
      </c>
      <c r="F21" s="1">
        <v>190</v>
      </c>
      <c r="G21" s="1">
        <v>30</v>
      </c>
      <c r="H21" s="1">
        <v>160</v>
      </c>
      <c r="I21" s="1">
        <v>2</v>
      </c>
      <c r="J21" s="1" t="s">
        <v>26</v>
      </c>
    </row>
    <row r="22" spans="1:10" x14ac:dyDescent="0.35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84</v>
      </c>
      <c r="F22" s="1">
        <v>1200</v>
      </c>
      <c r="G22" s="1">
        <v>200</v>
      </c>
      <c r="H22" s="1">
        <v>1000</v>
      </c>
      <c r="I22" s="1">
        <v>0</v>
      </c>
      <c r="J22" s="1" t="s">
        <v>26</v>
      </c>
    </row>
    <row r="23" spans="1:10" x14ac:dyDescent="0.35">
      <c r="A23" s="1" t="s">
        <v>85</v>
      </c>
      <c r="B23" s="1" t="s">
        <v>86</v>
      </c>
      <c r="C23" s="1" t="s">
        <v>82</v>
      </c>
      <c r="D23" s="1" t="s">
        <v>83</v>
      </c>
      <c r="E23" s="1" t="s">
        <v>87</v>
      </c>
      <c r="F23" s="1">
        <v>1500</v>
      </c>
      <c r="G23" s="1">
        <v>300</v>
      </c>
      <c r="H23" s="1">
        <v>1200</v>
      </c>
      <c r="I23" s="1">
        <v>5</v>
      </c>
      <c r="J23" s="1" t="s">
        <v>26</v>
      </c>
    </row>
    <row r="24" spans="1:10" x14ac:dyDescent="0.35">
      <c r="A24" s="1" t="s">
        <v>88</v>
      </c>
      <c r="B24" s="1" t="s">
        <v>89</v>
      </c>
      <c r="C24" s="1" t="s">
        <v>82</v>
      </c>
      <c r="D24" s="1" t="s">
        <v>83</v>
      </c>
      <c r="E24" s="1" t="s">
        <v>90</v>
      </c>
      <c r="F24" s="1">
        <v>800</v>
      </c>
      <c r="G24" s="1">
        <v>120</v>
      </c>
      <c r="H24" s="1">
        <v>680</v>
      </c>
      <c r="I24" s="1">
        <v>2</v>
      </c>
      <c r="J24" s="1" t="s">
        <v>26</v>
      </c>
    </row>
    <row r="25" spans="1:10" x14ac:dyDescent="0.35">
      <c r="A25" s="1" t="s">
        <v>91</v>
      </c>
      <c r="B25" s="1" t="s">
        <v>92</v>
      </c>
      <c r="C25" s="1" t="s">
        <v>82</v>
      </c>
      <c r="D25" s="1" t="s">
        <v>83</v>
      </c>
      <c r="E25" s="1" t="s">
        <v>93</v>
      </c>
      <c r="F25" s="1">
        <v>2500</v>
      </c>
      <c r="G25" s="1">
        <v>450</v>
      </c>
      <c r="H25" s="1">
        <v>2050</v>
      </c>
      <c r="I25" s="1">
        <v>0</v>
      </c>
      <c r="J25" s="1" t="s">
        <v>26</v>
      </c>
    </row>
  </sheetData>
  <conditionalFormatting sqref="H2:H25">
    <cfRule type="cellIs" dxfId="0" priority="1" operator="lessThan">
      <formula>100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workbookViewId="0">
      <selection activeCell="E12" sqref="E12"/>
    </sheetView>
  </sheetViews>
  <sheetFormatPr defaultRowHeight="14.5" x14ac:dyDescent="0.35"/>
  <cols>
    <col min="2" max="2" width="10.7265625" bestFit="1" customWidth="1"/>
    <col min="3" max="3" width="10.08984375" bestFit="1" customWidth="1"/>
    <col min="5" max="5" width="13.1796875" bestFit="1" customWidth="1"/>
  </cols>
  <sheetData>
    <row r="1" spans="1:7" s="1" customFormat="1" x14ac:dyDescent="0.35">
      <c r="A1" s="2" t="s">
        <v>94</v>
      </c>
      <c r="B1" s="2" t="s">
        <v>95</v>
      </c>
      <c r="C1" s="2" t="s">
        <v>96</v>
      </c>
      <c r="D1" s="2" t="s">
        <v>0</v>
      </c>
      <c r="E1" s="2" t="s">
        <v>1</v>
      </c>
      <c r="F1" s="2" t="s">
        <v>97</v>
      </c>
      <c r="G1" s="2" t="s">
        <v>98</v>
      </c>
    </row>
    <row r="2" spans="1:7" x14ac:dyDescent="0.35">
      <c r="A2" s="1" t="s">
        <v>99</v>
      </c>
      <c r="B2" s="1" t="s">
        <v>100</v>
      </c>
      <c r="C2" s="1" t="s">
        <v>100</v>
      </c>
      <c r="D2" s="1" t="s">
        <v>10</v>
      </c>
      <c r="E2" s="1" t="s">
        <v>11</v>
      </c>
      <c r="F2" s="1">
        <v>15</v>
      </c>
      <c r="G2" s="1" t="s">
        <v>101</v>
      </c>
    </row>
    <row r="3" spans="1:7" x14ac:dyDescent="0.35">
      <c r="A3" s="1" t="s">
        <v>102</v>
      </c>
      <c r="B3" s="1" t="s">
        <v>103</v>
      </c>
      <c r="C3" s="1" t="s">
        <v>103</v>
      </c>
      <c r="D3" s="1" t="s">
        <v>80</v>
      </c>
      <c r="E3" s="1" t="s">
        <v>81</v>
      </c>
      <c r="F3" s="1">
        <v>50</v>
      </c>
      <c r="G3" s="1" t="s">
        <v>101</v>
      </c>
    </row>
    <row r="4" spans="1:7" x14ac:dyDescent="0.35">
      <c r="A4" s="1" t="s">
        <v>104</v>
      </c>
      <c r="B4" s="1" t="s">
        <v>105</v>
      </c>
      <c r="C4" s="1" t="s">
        <v>105</v>
      </c>
      <c r="D4" s="1" t="s">
        <v>47</v>
      </c>
      <c r="E4" s="1" t="s">
        <v>48</v>
      </c>
      <c r="F4" s="1">
        <v>30</v>
      </c>
      <c r="G4" s="1" t="s">
        <v>101</v>
      </c>
    </row>
    <row r="5" spans="1:7" x14ac:dyDescent="0.35">
      <c r="A5" s="1" t="s">
        <v>106</v>
      </c>
      <c r="B5" s="1" t="s">
        <v>107</v>
      </c>
      <c r="C5" s="1" t="s">
        <v>107</v>
      </c>
      <c r="D5" s="1" t="s">
        <v>67</v>
      </c>
      <c r="E5" s="1" t="s">
        <v>68</v>
      </c>
      <c r="F5" s="1">
        <v>18</v>
      </c>
      <c r="G5" s="1" t="s">
        <v>101</v>
      </c>
    </row>
    <row r="6" spans="1:7" x14ac:dyDescent="0.35">
      <c r="A6" s="1" t="s">
        <v>108</v>
      </c>
      <c r="B6" s="1" t="s">
        <v>109</v>
      </c>
      <c r="C6" s="1" t="s">
        <v>109</v>
      </c>
      <c r="D6" s="1" t="s">
        <v>54</v>
      </c>
      <c r="E6" s="1" t="s">
        <v>55</v>
      </c>
      <c r="F6" s="1">
        <v>22</v>
      </c>
      <c r="G6" s="1" t="s">
        <v>101</v>
      </c>
    </row>
    <row r="7" spans="1:7" x14ac:dyDescent="0.35">
      <c r="A7" s="1" t="s">
        <v>110</v>
      </c>
      <c r="B7" s="1" t="s">
        <v>111</v>
      </c>
      <c r="C7" s="1" t="s">
        <v>111</v>
      </c>
      <c r="D7" s="1" t="s">
        <v>88</v>
      </c>
      <c r="E7" s="1" t="s">
        <v>89</v>
      </c>
      <c r="F7" s="1">
        <v>40</v>
      </c>
      <c r="G7" s="1" t="s">
        <v>101</v>
      </c>
    </row>
    <row r="8" spans="1:7" x14ac:dyDescent="0.35">
      <c r="A8" s="1" t="s">
        <v>112</v>
      </c>
      <c r="B8" s="1" t="s">
        <v>113</v>
      </c>
      <c r="C8" s="1" t="s">
        <v>113</v>
      </c>
      <c r="D8" s="1" t="s">
        <v>16</v>
      </c>
      <c r="E8" s="1" t="s">
        <v>17</v>
      </c>
      <c r="F8" s="1">
        <v>10</v>
      </c>
      <c r="G8" s="1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showGridLines="0" workbookViewId="0">
      <selection activeCell="E9" sqref="E9"/>
    </sheetView>
  </sheetViews>
  <sheetFormatPr defaultRowHeight="14.5" x14ac:dyDescent="0.35"/>
  <cols>
    <col min="1" max="1" width="9.81640625" style="1" bestFit="1" customWidth="1"/>
    <col min="2" max="2" width="12" style="1" bestFit="1" customWidth="1"/>
    <col min="3" max="3" width="11.81640625" style="1" bestFit="1" customWidth="1"/>
    <col min="4" max="4" width="8.7265625" style="1" customWidth="1"/>
    <col min="5" max="5" width="13.08984375" style="1" bestFit="1" customWidth="1"/>
    <col min="6" max="7" width="8.7265625" style="1" customWidth="1"/>
    <col min="8" max="16384" width="8.7265625" style="1"/>
  </cols>
  <sheetData>
    <row r="1" spans="1:6" x14ac:dyDescent="0.35">
      <c r="A1" s="2" t="s">
        <v>114</v>
      </c>
      <c r="B1" s="2" t="s">
        <v>115</v>
      </c>
      <c r="C1" s="2" t="s">
        <v>116</v>
      </c>
      <c r="D1" s="2" t="s">
        <v>0</v>
      </c>
      <c r="E1" s="2" t="s">
        <v>1</v>
      </c>
      <c r="F1" s="2" t="s">
        <v>97</v>
      </c>
    </row>
    <row r="2" spans="1:6" x14ac:dyDescent="0.35">
      <c r="A2" s="1" t="s">
        <v>117</v>
      </c>
      <c r="B2" s="1" t="s">
        <v>100</v>
      </c>
      <c r="C2" s="1" t="s">
        <v>118</v>
      </c>
      <c r="D2" s="1" t="s">
        <v>10</v>
      </c>
      <c r="E2" s="1" t="s">
        <v>11</v>
      </c>
      <c r="F2" s="1">
        <v>100</v>
      </c>
    </row>
    <row r="3" spans="1:6" x14ac:dyDescent="0.35">
      <c r="A3" s="1" t="s">
        <v>119</v>
      </c>
      <c r="B3" s="1" t="s">
        <v>103</v>
      </c>
      <c r="C3" s="1" t="s">
        <v>120</v>
      </c>
      <c r="D3" s="1" t="s">
        <v>30</v>
      </c>
      <c r="E3" s="1" t="s">
        <v>31</v>
      </c>
      <c r="F3" s="1">
        <v>120</v>
      </c>
    </row>
    <row r="4" spans="1:6" x14ac:dyDescent="0.35">
      <c r="A4" s="1" t="s">
        <v>121</v>
      </c>
      <c r="B4" s="1" t="s">
        <v>105</v>
      </c>
      <c r="C4" s="1" t="s">
        <v>122</v>
      </c>
      <c r="D4" s="1" t="s">
        <v>50</v>
      </c>
      <c r="E4" s="1" t="s">
        <v>51</v>
      </c>
      <c r="F4" s="1">
        <v>200</v>
      </c>
    </row>
    <row r="5" spans="1:6" x14ac:dyDescent="0.35">
      <c r="A5" s="1" t="s">
        <v>123</v>
      </c>
      <c r="B5" s="1" t="s">
        <v>107</v>
      </c>
      <c r="C5" s="1" t="s">
        <v>124</v>
      </c>
      <c r="D5" s="1" t="s">
        <v>80</v>
      </c>
      <c r="E5" s="1" t="s">
        <v>81</v>
      </c>
      <c r="F5" s="1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selection activeCell="G21" sqref="G21"/>
    </sheetView>
  </sheetViews>
  <sheetFormatPr defaultRowHeight="14.5" x14ac:dyDescent="0.35"/>
  <cols>
    <col min="1" max="1" width="10.08984375" style="1" bestFit="1" customWidth="1"/>
    <col min="2" max="2" width="8.7265625" style="1" customWidth="1"/>
    <col min="3" max="3" width="13.08984375" style="1" bestFit="1" customWidth="1"/>
    <col min="4" max="4" width="10.81640625" style="1" bestFit="1" customWidth="1"/>
    <col min="5" max="5" width="11.453125" style="1" bestFit="1" customWidth="1"/>
    <col min="6" max="7" width="8.7265625" style="1" customWidth="1"/>
    <col min="8" max="16384" width="8.7265625" style="1"/>
  </cols>
  <sheetData>
    <row r="1" spans="1:6" x14ac:dyDescent="0.35">
      <c r="A1" s="2" t="s">
        <v>125</v>
      </c>
      <c r="B1" s="2" t="s">
        <v>0</v>
      </c>
      <c r="C1" s="2" t="s">
        <v>1</v>
      </c>
      <c r="D1" s="2" t="s">
        <v>126</v>
      </c>
      <c r="E1" s="2" t="s">
        <v>127</v>
      </c>
      <c r="F1" s="2" t="s">
        <v>128</v>
      </c>
    </row>
    <row r="2" spans="1:6" x14ac:dyDescent="0.35">
      <c r="A2" s="1" t="s">
        <v>105</v>
      </c>
      <c r="B2" s="1" t="s">
        <v>10</v>
      </c>
      <c r="C2" s="1" t="s">
        <v>11</v>
      </c>
      <c r="D2" s="1">
        <v>250</v>
      </c>
      <c r="E2" s="1">
        <v>248</v>
      </c>
      <c r="F2" s="1">
        <f>ABS(D2-E2)</f>
        <v>2</v>
      </c>
    </row>
    <row r="3" spans="1:6" x14ac:dyDescent="0.35">
      <c r="A3" s="1" t="s">
        <v>107</v>
      </c>
      <c r="B3" s="1" t="s">
        <v>47</v>
      </c>
      <c r="C3" s="1" t="s">
        <v>48</v>
      </c>
      <c r="D3" s="1">
        <v>500</v>
      </c>
      <c r="E3" s="1">
        <v>497</v>
      </c>
      <c r="F3" s="1">
        <f>ABS(D3-E3)</f>
        <v>3</v>
      </c>
    </row>
    <row r="4" spans="1:6" x14ac:dyDescent="0.35">
      <c r="A4" s="1" t="s">
        <v>109</v>
      </c>
      <c r="B4" s="1" t="s">
        <v>80</v>
      </c>
      <c r="C4" s="1" t="s">
        <v>81</v>
      </c>
      <c r="D4" s="1">
        <v>1200</v>
      </c>
      <c r="E4" s="1">
        <v>1200</v>
      </c>
      <c r="F4" s="1">
        <f>ABS(D4-E4)</f>
        <v>0</v>
      </c>
    </row>
    <row r="5" spans="1:6" ht="15" customHeight="1" x14ac:dyDescent="0.35">
      <c r="A5" s="1" t="s">
        <v>111</v>
      </c>
      <c r="B5" s="1" t="s">
        <v>67</v>
      </c>
      <c r="C5" s="1" t="s">
        <v>68</v>
      </c>
      <c r="D5" s="1">
        <v>200</v>
      </c>
      <c r="E5" s="1">
        <v>198</v>
      </c>
      <c r="F5" s="1">
        <f>ABS(D5-E5)</f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"/>
  <sheetViews>
    <sheetView showGridLines="0" tabSelected="1" zoomScale="93" zoomScaleNormal="93" workbookViewId="0">
      <selection activeCell="A12" sqref="A12"/>
    </sheetView>
  </sheetViews>
  <sheetFormatPr defaultRowHeight="14.5" x14ac:dyDescent="0.35"/>
  <cols>
    <col min="1" max="1" width="16.81640625" style="1" bestFit="1" customWidth="1"/>
    <col min="2" max="3" width="8.7265625" style="1"/>
    <col min="4" max="4" width="11.81640625" style="1" bestFit="1" customWidth="1"/>
    <col min="5" max="16384" width="8.7265625" style="1"/>
  </cols>
  <sheetData>
    <row r="1" spans="1:13" ht="26" customHeight="1" x14ac:dyDescent="0.35">
      <c r="A1" s="5" t="s">
        <v>129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8.5" x14ac:dyDescent="0.35">
      <c r="A2" s="4"/>
      <c r="B2" s="4"/>
      <c r="C2" s="4"/>
      <c r="J2" s="6" t="s">
        <v>130</v>
      </c>
    </row>
    <row r="3" spans="1:13" ht="15.5" x14ac:dyDescent="0.35">
      <c r="A3" s="7" t="s">
        <v>131</v>
      </c>
      <c r="B3" s="8">
        <f>SUM(Inventory!F2:F25)</f>
        <v>10510</v>
      </c>
      <c r="D3" s="2" t="s">
        <v>2</v>
      </c>
      <c r="E3" s="2" t="s">
        <v>132</v>
      </c>
      <c r="J3" s="1" t="s">
        <v>133</v>
      </c>
    </row>
    <row r="4" spans="1:13" ht="15.5" x14ac:dyDescent="0.35">
      <c r="A4" s="7" t="s">
        <v>7</v>
      </c>
      <c r="B4" s="8">
        <f>SUM(Inventory!H2:H25)</f>
        <v>8815</v>
      </c>
      <c r="D4" s="1" t="s">
        <v>12</v>
      </c>
      <c r="E4" s="1">
        <f>SUMIF(Inventory!C:C,D4,Inventory!F:F)</f>
        <v>800</v>
      </c>
      <c r="J4" s="1" t="s">
        <v>134</v>
      </c>
    </row>
    <row r="5" spans="1:13" ht="15.5" x14ac:dyDescent="0.35">
      <c r="A5" s="7" t="s">
        <v>6</v>
      </c>
      <c r="B5" s="8">
        <f>SUM(Inventory!G2:G25)</f>
        <v>1695</v>
      </c>
      <c r="D5" s="1" t="s">
        <v>32</v>
      </c>
      <c r="E5" s="1">
        <f>SUMIF(Inventory!C:C,D5,Inventory!F:F)</f>
        <v>1730</v>
      </c>
      <c r="J5" s="1" t="s">
        <v>135</v>
      </c>
    </row>
    <row r="6" spans="1:13" ht="15.5" x14ac:dyDescent="0.35">
      <c r="A6" s="7" t="s">
        <v>8</v>
      </c>
      <c r="B6" s="8">
        <f>SUM(Inventory!I2:I25)</f>
        <v>38</v>
      </c>
      <c r="D6" s="1" t="s">
        <v>52</v>
      </c>
      <c r="E6" s="1">
        <f>SUMIF(Inventory!C:C,D6,Inventory!F:F)</f>
        <v>1280</v>
      </c>
      <c r="J6" s="1" t="s">
        <v>136</v>
      </c>
    </row>
    <row r="7" spans="1:13" ht="15.5" x14ac:dyDescent="0.35">
      <c r="A7" s="7" t="s">
        <v>137</v>
      </c>
      <c r="B7" s="8">
        <f>COUNTA(Orders!A2:A8)</f>
        <v>7</v>
      </c>
      <c r="D7" s="1" t="s">
        <v>69</v>
      </c>
      <c r="E7" s="1">
        <f>SUMIF(Inventory!C:C,D7,Inventory!F:F)</f>
        <v>700</v>
      </c>
      <c r="J7" s="1" t="s">
        <v>138</v>
      </c>
    </row>
    <row r="8" spans="1:13" ht="15.5" x14ac:dyDescent="0.35">
      <c r="A8" s="7" t="s">
        <v>139</v>
      </c>
      <c r="B8" s="8" t="str">
        <f>ROUND((1-SUM(CycleCounts!F2:F5)/SUM(CycleCounts!D2:D5))*100,2)&amp;"%"</f>
        <v>99.67%</v>
      </c>
      <c r="D8" s="1" t="s">
        <v>82</v>
      </c>
      <c r="E8" s="1">
        <f>SUMIF(Inventory!C:C,D8,Inventory!F:F)</f>
        <v>6000</v>
      </c>
    </row>
    <row r="10" spans="1:13" x14ac:dyDescent="0.35">
      <c r="D10" s="14" t="s">
        <v>3</v>
      </c>
      <c r="E10" s="14" t="s">
        <v>132</v>
      </c>
    </row>
    <row r="11" spans="1:13" x14ac:dyDescent="0.35">
      <c r="D11" s="1" t="s">
        <v>13</v>
      </c>
      <c r="E11" s="1">
        <f>SUMIF(Inventory!D:D,D11,Inventory!F:F)</f>
        <v>2210</v>
      </c>
    </row>
    <row r="12" spans="1:13" x14ac:dyDescent="0.35">
      <c r="A12" s="6" t="s">
        <v>140</v>
      </c>
      <c r="B12" s="6" t="s">
        <v>141</v>
      </c>
      <c r="D12" s="1" t="s">
        <v>45</v>
      </c>
      <c r="E12" s="1">
        <f>SUMIF(Inventory!D:D,D12,Inventory!F:F)</f>
        <v>2180</v>
      </c>
    </row>
    <row r="13" spans="1:13" x14ac:dyDescent="0.35">
      <c r="A13" s="1" t="s">
        <v>100</v>
      </c>
      <c r="B13" s="1">
        <v>2</v>
      </c>
      <c r="D13" s="1" t="s">
        <v>21</v>
      </c>
      <c r="E13" s="1">
        <f>SUMIF(Inventory!D:D,D13,Inventory!F:F)</f>
        <v>120</v>
      </c>
    </row>
    <row r="14" spans="1:13" x14ac:dyDescent="0.35">
      <c r="A14" s="1" t="s">
        <v>103</v>
      </c>
      <c r="B14" s="1">
        <v>5</v>
      </c>
      <c r="D14" s="1" t="s">
        <v>83</v>
      </c>
      <c r="E14" s="1">
        <f>SUMIF(Inventory!D:D,D14,Inventory!F:F)</f>
        <v>6000</v>
      </c>
    </row>
    <row r="15" spans="1:13" ht="14" customHeight="1" x14ac:dyDescent="0.35">
      <c r="A15" s="1" t="s">
        <v>105</v>
      </c>
      <c r="B15" s="1">
        <v>2</v>
      </c>
    </row>
    <row r="16" spans="1:13" x14ac:dyDescent="0.35">
      <c r="A16" s="1" t="s">
        <v>107</v>
      </c>
      <c r="B16" s="1">
        <v>4</v>
      </c>
    </row>
    <row r="17" spans="1:5" x14ac:dyDescent="0.35">
      <c r="A17" s="1" t="s">
        <v>109</v>
      </c>
      <c r="B17" s="1">
        <v>1</v>
      </c>
    </row>
    <row r="18" spans="1:5" x14ac:dyDescent="0.35">
      <c r="A18" s="1" t="s">
        <v>111</v>
      </c>
      <c r="B18" s="1">
        <v>5</v>
      </c>
      <c r="D18" s="6" t="s">
        <v>116</v>
      </c>
      <c r="E18" s="6" t="s">
        <v>142</v>
      </c>
    </row>
    <row r="19" spans="1:5" x14ac:dyDescent="0.35">
      <c r="A19" s="1" t="s">
        <v>113</v>
      </c>
      <c r="B19" s="1">
        <v>1</v>
      </c>
      <c r="D19" s="1" t="s">
        <v>118</v>
      </c>
      <c r="E19" s="1">
        <v>100</v>
      </c>
    </row>
    <row r="20" spans="1:5" x14ac:dyDescent="0.35">
      <c r="D20" s="1" t="s">
        <v>120</v>
      </c>
      <c r="E20" s="1">
        <v>120</v>
      </c>
    </row>
    <row r="21" spans="1:5" x14ac:dyDescent="0.35">
      <c r="D21" s="1" t="s">
        <v>122</v>
      </c>
      <c r="E21" s="1">
        <v>200</v>
      </c>
    </row>
    <row r="22" spans="1:5" ht="17" customHeight="1" x14ac:dyDescent="0.35">
      <c r="A22" s="9" t="s">
        <v>143</v>
      </c>
      <c r="B22" s="10"/>
      <c r="D22" s="1" t="s">
        <v>124</v>
      </c>
      <c r="E22" s="1">
        <v>500</v>
      </c>
    </row>
    <row r="23" spans="1:5" x14ac:dyDescent="0.35">
      <c r="A23" s="6" t="s">
        <v>1</v>
      </c>
      <c r="B23" s="6" t="s">
        <v>7</v>
      </c>
    </row>
    <row r="24" spans="1:5" x14ac:dyDescent="0.35">
      <c r="A24" s="1" t="s">
        <v>24</v>
      </c>
      <c r="B24" s="1">
        <v>78</v>
      </c>
    </row>
    <row r="25" spans="1:5" x14ac:dyDescent="0.35">
      <c r="A25" s="1" t="s">
        <v>41</v>
      </c>
      <c r="B25" s="1">
        <v>85</v>
      </c>
    </row>
    <row r="31" spans="1:5" ht="18.5" x14ac:dyDescent="0.35">
      <c r="A31" s="13" t="s">
        <v>144</v>
      </c>
      <c r="B31" s="13"/>
      <c r="C31" s="13"/>
      <c r="D31" s="13"/>
    </row>
    <row r="32" spans="1:5" x14ac:dyDescent="0.35">
      <c r="A32" s="10" t="s">
        <v>146</v>
      </c>
      <c r="B32" s="10"/>
      <c r="C32" s="10"/>
      <c r="D32" s="10"/>
    </row>
    <row r="33" spans="1:4" x14ac:dyDescent="0.35">
      <c r="A33" s="10" t="s">
        <v>147</v>
      </c>
      <c r="B33" s="10"/>
      <c r="C33" s="10"/>
      <c r="D33" s="10"/>
    </row>
    <row r="34" spans="1:4" x14ac:dyDescent="0.35">
      <c r="A34" s="10" t="s">
        <v>148</v>
      </c>
      <c r="B34" s="10"/>
      <c r="C34" s="10"/>
      <c r="D34" s="10"/>
    </row>
    <row r="35" spans="1:4" x14ac:dyDescent="0.35">
      <c r="A35" s="12" t="s">
        <v>149</v>
      </c>
      <c r="B35" s="12"/>
      <c r="C35" s="12"/>
      <c r="D35" s="12"/>
    </row>
    <row r="36" spans="1:4" x14ac:dyDescent="0.35">
      <c r="A36" s="10" t="s">
        <v>150</v>
      </c>
      <c r="B36" s="10"/>
      <c r="C36" s="10"/>
      <c r="D36" s="10"/>
    </row>
    <row r="39" spans="1:4" ht="18.5" x14ac:dyDescent="0.35">
      <c r="A39" s="3" t="s">
        <v>145</v>
      </c>
      <c r="B39" s="3"/>
    </row>
    <row r="40" spans="1:4" x14ac:dyDescent="0.35">
      <c r="A40" s="11" t="s">
        <v>1</v>
      </c>
      <c r="B40" s="11" t="s">
        <v>132</v>
      </c>
    </row>
    <row r="41" spans="1:4" x14ac:dyDescent="0.35">
      <c r="A41" s="1" t="s">
        <v>92</v>
      </c>
      <c r="B41" s="1">
        <v>2500</v>
      </c>
    </row>
    <row r="42" spans="1:4" x14ac:dyDescent="0.35">
      <c r="A42" s="1" t="s">
        <v>86</v>
      </c>
      <c r="B42" s="1">
        <v>1500</v>
      </c>
    </row>
    <row r="43" spans="1:4" x14ac:dyDescent="0.35">
      <c r="A43" s="1" t="s">
        <v>81</v>
      </c>
      <c r="B43" s="1">
        <v>1200</v>
      </c>
    </row>
    <row r="44" spans="1:4" x14ac:dyDescent="0.35">
      <c r="A44" s="1" t="s">
        <v>89</v>
      </c>
      <c r="B44" s="1">
        <v>800</v>
      </c>
    </row>
    <row r="45" spans="1:4" x14ac:dyDescent="0.35">
      <c r="A45" s="1" t="s">
        <v>48</v>
      </c>
      <c r="B45" s="1">
        <v>500</v>
      </c>
    </row>
    <row r="46" spans="1:4" x14ac:dyDescent="0.35">
      <c r="A46" s="1" t="s">
        <v>44</v>
      </c>
      <c r="B46" s="1">
        <v>400</v>
      </c>
    </row>
    <row r="47" spans="1:4" x14ac:dyDescent="0.35">
      <c r="A47" s="1" t="s">
        <v>51</v>
      </c>
      <c r="B47" s="1">
        <v>350</v>
      </c>
    </row>
    <row r="48" spans="1:4" x14ac:dyDescent="0.35">
      <c r="A48" s="1" t="s">
        <v>55</v>
      </c>
      <c r="B48" s="1">
        <v>320</v>
      </c>
    </row>
    <row r="49" spans="1:2" x14ac:dyDescent="0.35">
      <c r="A49" s="1" t="s">
        <v>31</v>
      </c>
      <c r="B49" s="1">
        <v>300</v>
      </c>
    </row>
    <row r="50" spans="1:2" x14ac:dyDescent="0.35">
      <c r="A50" s="1" t="s">
        <v>35</v>
      </c>
      <c r="B50" s="1">
        <v>280</v>
      </c>
    </row>
  </sheetData>
  <mergeCells count="8">
    <mergeCell ref="A22:B22"/>
    <mergeCell ref="A1:M1"/>
    <mergeCell ref="A39:B39"/>
    <mergeCell ref="A32:D32"/>
    <mergeCell ref="A33:D33"/>
    <mergeCell ref="A34:D34"/>
    <mergeCell ref="A36:D36"/>
    <mergeCell ref="A31:D3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Orders</vt:lpstr>
      <vt:lpstr>Receipts</vt:lpstr>
      <vt:lpstr>CycleCounts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navdip savaliya</cp:lastModifiedBy>
  <dcterms:created xsi:type="dcterms:W3CDTF">2026-07-21T19:32:32Z</dcterms:created>
  <dcterms:modified xsi:type="dcterms:W3CDTF">2026-07-21T20:33:48Z</dcterms:modified>
</cp:coreProperties>
</file>